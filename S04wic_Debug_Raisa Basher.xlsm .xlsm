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8_{6D12FEA3-AFB7-4063-AB4C-DA75A8BE319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tartHere" sheetId="1" r:id="rId1"/>
    <sheet name="CCmeeting" sheetId="36" state="veryHidden" r:id="rId2"/>
    <sheet name="WorkSheet" sheetId="35" r:id="rId3"/>
    <sheet name="CommonErrors" sheetId="34" r:id="rId4"/>
    <sheet name="5.ID" sheetId="4" state="veryHidden" r:id="rId5"/>
    <sheet name="Sheet9" sheetId="33" state="hidden" r:id="rId6"/>
  </sheet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35" l="1"/>
  <c r="B23" i="35"/>
  <c r="B22" i="35"/>
  <c r="B21" i="35"/>
  <c r="B20" i="35"/>
  <c r="B19" i="35"/>
  <c r="B16" i="35"/>
  <c r="B14" i="35"/>
  <c r="B13" i="35"/>
  <c r="B10" i="35"/>
  <c r="B7" i="35"/>
  <c r="B18" i="35"/>
  <c r="B15" i="35"/>
  <c r="E15" i="35"/>
  <c r="B12" i="35"/>
  <c r="E12" i="35"/>
  <c r="B11" i="35"/>
  <c r="E11" i="35" s="1"/>
  <c r="B9" i="35"/>
  <c r="B8" i="35"/>
  <c r="B6" i="35"/>
  <c r="B5" i="35"/>
  <c r="B4" i="35"/>
  <c r="C1" i="35"/>
  <c r="A20" i="34"/>
  <c r="D3" i="35"/>
  <c r="B1" i="35"/>
  <c r="B20" i="34"/>
  <c r="C17" i="35"/>
  <c r="E16" i="35"/>
  <c r="D5" i="35"/>
  <c r="D12" i="35"/>
  <c r="D11" i="35"/>
  <c r="D15" i="35"/>
  <c r="D16" i="35"/>
  <c r="D9" i="35"/>
  <c r="D8" i="35"/>
  <c r="A1" i="36"/>
  <c r="E14" i="35" l="1"/>
  <c r="E7" i="35"/>
  <c r="E6" i="35"/>
  <c r="E5" i="35"/>
  <c r="E18" i="35"/>
  <c r="E24" i="35"/>
  <c r="D24" i="35"/>
  <c r="E23" i="35"/>
  <c r="D23" i="35"/>
  <c r="E22" i="35"/>
  <c r="D22" i="35"/>
  <c r="E21" i="35"/>
  <c r="D21" i="35"/>
  <c r="E20" i="35"/>
  <c r="D20" i="35"/>
  <c r="E19" i="35"/>
  <c r="D19" i="35"/>
  <c r="D18" i="35"/>
  <c r="D14" i="35" l="1"/>
  <c r="D13" i="35"/>
  <c r="D10" i="35"/>
  <c r="D7" i="35" l="1"/>
  <c r="D6" i="35"/>
  <c r="D4" i="35"/>
  <c r="P8" i="35"/>
  <c r="O5" i="35"/>
  <c r="P5" i="35" s="1"/>
  <c r="O6" i="35"/>
  <c r="P6" i="35" s="1"/>
  <c r="O7" i="35"/>
  <c r="P7" i="35" s="1"/>
  <c r="O8" i="35"/>
  <c r="O9" i="35"/>
  <c r="P9" i="35" s="1"/>
  <c r="O10" i="35"/>
  <c r="P10" i="35" s="1"/>
  <c r="O11" i="35"/>
  <c r="P11" i="35" s="1"/>
  <c r="O12" i="35"/>
  <c r="P12" i="35" s="1"/>
  <c r="O13" i="35"/>
  <c r="P13" i="35" s="1"/>
  <c r="O14" i="35"/>
  <c r="P14" i="35" s="1"/>
  <c r="O15" i="35"/>
  <c r="P15" i="35" s="1"/>
  <c r="O4" i="35"/>
  <c r="P4" i="35" s="1"/>
  <c r="L5" i="35"/>
  <c r="M5" i="35" s="1"/>
  <c r="L6" i="35"/>
  <c r="M6" i="35" s="1"/>
  <c r="L7" i="35"/>
  <c r="M7" i="35" s="1"/>
  <c r="L8" i="35"/>
  <c r="M8" i="35" s="1"/>
  <c r="L9" i="35"/>
  <c r="M9" i="35" s="1"/>
  <c r="L10" i="35"/>
  <c r="M10" i="35" s="1"/>
  <c r="L11" i="35"/>
  <c r="M11" i="35" s="1"/>
  <c r="L12" i="35"/>
  <c r="M12" i="35" s="1"/>
  <c r="L13" i="35"/>
  <c r="M13" i="35" s="1"/>
  <c r="L14" i="35"/>
  <c r="M14" i="35" s="1"/>
  <c r="L15" i="35"/>
  <c r="M15" i="35" s="1"/>
  <c r="L4" i="35"/>
  <c r="M4" i="35" l="1"/>
  <c r="E10" i="35"/>
  <c r="E9" i="35"/>
  <c r="E8" i="35"/>
  <c r="E13" i="35"/>
  <c r="C18" i="1"/>
  <c r="C17" i="1"/>
  <c r="C16" i="1" l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 Schmitz</author>
  </authors>
  <commentList>
    <comment ref="E4" authorId="0" shapeId="0" xr:uid="{00000000-0006-0000-0100-000001000000}">
      <text>
        <r>
          <rPr>
            <sz val="9"/>
            <color indexed="81"/>
            <rFont val="Tahoma"/>
            <family val="2"/>
          </rPr>
          <t>The spreadsheet will not tell you if you have the correct answer for this task.</t>
        </r>
      </text>
    </comment>
    <comment ref="D18" authorId="0" shapeId="0" xr:uid="{68FF6C95-945B-4E79-A6D3-97B603F168F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18" authorId="0" shapeId="0" xr:uid="{B231F322-A6F6-40C9-9C0F-BB33EE95A87D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19" authorId="0" shapeId="0" xr:uid="{49541EEB-8826-4A5D-B408-2AD3A0EE53B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19" authorId="0" shapeId="0" xr:uid="{6E14999F-C24B-41E8-ADBB-FDE3AB284A01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0" authorId="0" shapeId="0" xr:uid="{E33EB9E9-DC4A-4B0D-9E53-BB1A2B2FE837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0" authorId="0" shapeId="0" xr:uid="{140D6543-7608-4BF9-8EDA-2447CD676D4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1" authorId="0" shapeId="0" xr:uid="{EABC5EDB-9E00-4E6C-9676-06CAA427AFD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1" authorId="0" shapeId="0" xr:uid="{C50EA55E-41B6-4B7E-8548-9E9B28A15FCB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2" authorId="0" shapeId="0" xr:uid="{CC7D5674-6911-41A0-969B-306A2323000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2" authorId="0" shapeId="0" xr:uid="{388F3342-61F3-407F-97F3-828478C2222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3" authorId="0" shapeId="0" xr:uid="{6FB52F42-CF98-44AD-8792-25A5DFBB8E41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3" authorId="0" shapeId="0" xr:uid="{ACFCC9A5-0894-4E18-A21E-A061692F68C2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4" authorId="0" shapeId="0" xr:uid="{F89A9E8E-ED25-413D-8B94-816BC58FA95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4" authorId="0" shapeId="0" xr:uid="{BD0EBD3D-F701-468D-87D6-BE0AC88FFB6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</commentList>
</comments>
</file>

<file path=xl/sharedStrings.xml><?xml version="1.0" encoding="utf-8"?>
<sst xmlns="http://schemas.openxmlformats.org/spreadsheetml/2006/main" count="140" uniqueCount="106">
  <si>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</si>
  <si>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</si>
  <si>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</si>
  <si>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</si>
  <si>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</si>
  <si>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</si>
  <si>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</si>
  <si>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</si>
  <si>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</si>
  <si>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</si>
  <si>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</si>
  <si>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Individual Challenge started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</si>
  <si>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</si>
  <si>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</si>
  <si>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</si>
  <si>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</si>
  <si>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</si>
  <si>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</si>
  <si>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</si>
  <si>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</si>
  <si>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</si>
  <si>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</si>
  <si>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</si>
  <si>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</si>
  <si>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</si>
  <si>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</si>
  <si>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Common Errors</t>
  </si>
  <si>
    <t>Description</t>
  </si>
  <si>
    <t>wrong function</t>
  </si>
  <si>
    <t>boundary condition</t>
  </si>
  <si>
    <t>other</t>
  </si>
  <si>
    <t>correct answer</t>
  </si>
  <si>
    <t>Task</t>
  </si>
  <si>
    <t>Formula</t>
  </si>
  <si>
    <t>display current date</t>
  </si>
  <si>
    <t>Summer 2020</t>
  </si>
  <si>
    <t>syntax error</t>
  </si>
  <si>
    <t>Incorrect, missing or extra punctuation such as commas, periods, quotes</t>
  </si>
  <si>
    <t>function name is known, but is incorrect for the task</t>
  </si>
  <si>
    <t>argument error</t>
  </si>
  <si>
    <t>parameter or argument error (supplies incorrect data to a function)</t>
  </si>
  <si>
    <t>math error</t>
  </si>
  <si>
    <t>logic incorrect for start, end or equivalency condition</t>
  </si>
  <si>
    <t>format error</t>
  </si>
  <si>
    <t>display of value is incorrect or misleading</t>
  </si>
  <si>
    <t>Average Temperature in Atlanta</t>
  </si>
  <si>
    <t>Month</t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</si>
  <si>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F</t>
    </r>
  </si>
  <si>
    <t>°C</t>
  </si>
  <si>
    <t>°K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</si>
  <si>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</si>
  <si>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</si>
  <si>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</si>
  <si>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</si>
  <si>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</si>
  <si>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</si>
  <si>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</si>
  <si>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</si>
  <si>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</si>
  <si>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</si>
  <si>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</si>
  <si>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</si>
  <si>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High Temp</t>
  </si>
  <si>
    <t>Low Temp</t>
  </si>
  <si>
    <t>* Temperatures provided by USA Climate Data https://www.usclimatedata.com/climate/atlanta/georgia/united-states/usga0028</t>
  </si>
  <si>
    <t>Average High Temp °F (column K)</t>
  </si>
  <si>
    <t>Average High Temp °C (column L)</t>
  </si>
  <si>
    <t>Minimum High Temp °F (column K)</t>
  </si>
  <si>
    <t>Maximum Low Temp °F (column N)</t>
  </si>
  <si>
    <t>Variance High Temp °C (column L)</t>
  </si>
  <si>
    <t>Variance High Temp °K (column M)</t>
  </si>
  <si>
    <t>Variance High Temp °F (column K)</t>
  </si>
  <si>
    <t>Minimum High Temp °K (column M)</t>
  </si>
  <si>
    <t>Joe Student</t>
  </si>
  <si>
    <t>errors not matching other categories</t>
  </si>
  <si>
    <t>Variance Low Temp °C (column O)</t>
  </si>
  <si>
    <t>Average Low Temp °K (column P)</t>
  </si>
  <si>
    <t>Replace the Screenshot in the cell below with an image from your computer showing participants by name and date/time</t>
  </si>
  <si>
    <t>Here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</si>
  <si>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The participant list must be from a web conferencing tool such as Webex, MS Teams, Skype or some other tool that allows screen sharing.</t>
    </r>
  </si>
  <si>
    <t>Windows Screen capture</t>
  </si>
  <si>
    <t>Shift-Window-S</t>
  </si>
  <si>
    <t>Macontosh Screen capture</t>
  </si>
  <si>
    <t>Shift-Command-5</t>
  </si>
  <si>
    <t>Is Jan  °F or °C larger? (High Temp)</t>
  </si>
  <si>
    <t>Is Jan  °F or °C larger? (Low Temp)</t>
  </si>
  <si>
    <t>logic error</t>
  </si>
  <si>
    <t>conditional logic does not accomplish intended action</t>
  </si>
  <si>
    <t>math formula does not accomplish intended calculation</t>
  </si>
  <si>
    <t>Is Aug  °F or °K larger? (High Temp)</t>
  </si>
  <si>
    <t>Is Aug  °C or °K larger? (Low Temp)</t>
  </si>
  <si>
    <t>Note: No help in columns D &amp; E below this point</t>
  </si>
  <si>
    <t>Problem Label</t>
  </si>
  <si>
    <t>compound problem</t>
  </si>
  <si>
    <t>more than one problem exists</t>
  </si>
  <si>
    <t>Kurt Schmitz © 2022 Do not post or reproduce.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</si>
  <si>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(version5c)</t>
    </r>
  </si>
  <si>
    <t>Fall 2022</t>
  </si>
  <si>
    <t>Raisa Basher</t>
  </si>
  <si>
    <t>002532139</t>
  </si>
  <si>
    <t>DirVer</t>
  </si>
  <si>
    <t>Welcome to Microsoft Excel version 16.0 build 15601 running on Windows (64-bit) NT 10.00!</t>
  </si>
  <si>
    <t>C:\Users\raisa\AppData\Local\Temp</t>
  </si>
  <si>
    <t>S04</t>
  </si>
  <si>
    <t>Start S04</t>
  </si>
  <si>
    <t>Raisa Basher started S04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</si>
</sst>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0.0"/>
    <numFmt numFmtId="168" formatCode="0.000"/>
    <numFmt numFmtId="169" formatCode="dd\-mmm\-yyyy\ hh:mm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i/>
      <sz val="11"/>
      <color theme="9" tint="0.59999389629810485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i/>
      <sz val="10"/>
      <color theme="4" tint="0.59999389629810485"/>
      <name val="Calibri"/>
      <family val="2"/>
      <scheme val="minor"/>
    </font>
    <font>
      <sz val="11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entury Schoolbook"/>
      <family val="1"/>
    </font>
    <font>
      <sz val="11"/>
      <color theme="1"/>
      <name val="Bell MT"/>
      <family val="1"/>
    </font>
    <font>
      <i/>
      <sz val="11"/>
      <color theme="0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0" xfId="0" quotePrefix="1" applyAlignment="1" applyProtection="1">
      <alignment horizontal="center" vertical="center"/>
    </xf>
    <xf numFmtId="0" fontId="14" fillId="0" borderId="0" xfId="0" applyFont="1" applyAlignment="1" applyProtection="1">
      <alignment vertical="center"/>
    </xf>
    <xf numFmtId="0" fontId="9" fillId="0" borderId="0" xfId="0" quotePrefix="1" applyFont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0" borderId="0" xfId="0" applyProtection="1"/>
    <xf numFmtId="0" fontId="1" fillId="0" borderId="0" xfId="0" applyFont="1" applyProtection="1"/>
    <xf numFmtId="166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right"/>
    </xf>
    <xf numFmtId="0" fontId="2" fillId="0" borderId="0" xfId="0" applyFont="1" applyProtection="1"/>
    <xf numFmtId="165" fontId="0" fillId="0" borderId="0" xfId="0" applyNumberFormat="1" applyAlignment="1" applyProtection="1">
      <alignment horizontal="left"/>
    </xf>
    <xf numFmtId="0" fontId="12" fillId="0" borderId="0" xfId="0" applyFont="1" applyProtection="1"/>
    <xf numFmtId="0" fontId="13" fillId="0" borderId="0" xfId="0" applyFont="1" applyProtection="1"/>
    <xf numFmtId="165" fontId="4" fillId="0" borderId="0" xfId="0" applyNumberFormat="1" applyFont="1" applyAlignment="1" applyProtection="1">
      <alignment horizontal="left"/>
    </xf>
    <xf numFmtId="165" fontId="2" fillId="0" borderId="0" xfId="0" applyNumberFormat="1" applyFont="1" applyProtection="1"/>
    <xf numFmtId="164" fontId="2" fillId="0" borderId="0" xfId="0" applyNumberFormat="1" applyFont="1" applyProtection="1"/>
    <xf numFmtId="0" fontId="3" fillId="0" borderId="0" xfId="0" applyFont="1" applyProtection="1"/>
    <xf numFmtId="164" fontId="0" fillId="2" borderId="1" xfId="0" applyNumberFormat="1" applyFill="1" applyBorder="1" applyProtection="1"/>
    <xf numFmtId="0" fontId="0" fillId="0" borderId="0" xfId="0" applyFont="1" applyAlignment="1" applyProtection="1">
      <alignment vertical="center"/>
    </xf>
    <xf numFmtId="0" fontId="21" fillId="0" borderId="0" xfId="0" applyFont="1" applyAlignment="1">
      <alignment horizontal="right"/>
    </xf>
    <xf numFmtId="0" fontId="23" fillId="0" borderId="0" xfId="0" applyFont="1"/>
    <xf numFmtId="0" fontId="2" fillId="4" borderId="0" xfId="0" applyFont="1" applyFill="1" applyAlignment="1">
      <alignment wrapText="1"/>
    </xf>
    <xf numFmtId="167" fontId="0" fillId="0" borderId="0" xfId="0" applyNumberFormat="1"/>
    <xf numFmtId="0" fontId="1" fillId="0" borderId="0" xfId="0" applyFont="1" applyAlignment="1">
      <alignment horizontal="right"/>
    </xf>
    <xf numFmtId="0" fontId="2" fillId="0" borderId="0" xfId="0" applyFont="1" applyProtection="1">
      <protection hidden="1"/>
    </xf>
    <xf numFmtId="0" fontId="0" fillId="4" borderId="0" xfId="0" quotePrefix="1" applyFill="1" applyProtection="1">
      <protection locked="0"/>
    </xf>
    <xf numFmtId="0" fontId="0" fillId="0" borderId="0" xfId="0" quotePrefix="1" applyProtection="1">
      <protection locked="0"/>
    </xf>
    <xf numFmtId="0" fontId="25" fillId="0" borderId="0" xfId="0" applyFont="1"/>
    <xf numFmtId="0" fontId="1" fillId="0" borderId="0" xfId="0" applyFont="1" applyFill="1" applyAlignment="1">
      <alignment horizontal="right"/>
    </xf>
    <xf numFmtId="0" fontId="1" fillId="0" borderId="0" xfId="0" applyFont="1" applyProtection="1">
      <protection hidden="1"/>
    </xf>
    <xf numFmtId="0" fontId="2" fillId="0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2" fontId="0" fillId="4" borderId="0" xfId="0" quotePrefix="1" applyNumberFormat="1" applyFill="1" applyProtection="1">
      <protection locked="0"/>
    </xf>
    <xf numFmtId="0" fontId="2" fillId="4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7" fillId="5" borderId="0" xfId="0" applyFont="1" applyFill="1" applyProtection="1">
      <protection hidden="1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29" fillId="6" borderId="0" xfId="0" applyFont="1" applyFill="1" applyProtection="1">
      <protection hidden="1"/>
    </xf>
    <xf numFmtId="0" fontId="29" fillId="6" borderId="0" xfId="0" quotePrefix="1" applyFont="1" applyFill="1" applyAlignment="1" applyProtection="1">
      <protection hidden="1"/>
    </xf>
    <xf numFmtId="0" fontId="1" fillId="0" borderId="0" xfId="0" applyFont="1" applyProtection="1">
      <protection locked="0"/>
    </xf>
    <xf numFmtId="0" fontId="20" fillId="0" borderId="0" xfId="0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Fill="1" applyProtection="1">
      <protection hidden="1"/>
    </xf>
    <xf numFmtId="0" fontId="28" fillId="6" borderId="0" xfId="0" applyFont="1" applyFill="1" applyAlignment="1" applyProtection="1">
      <protection hidden="1"/>
    </xf>
    <xf numFmtId="168" fontId="0" fillId="0" borderId="0" xfId="0" quotePrefix="1" applyNumberFormat="1" applyFill="1" applyProtection="1">
      <protection locked="0"/>
    </xf>
    <xf numFmtId="0" fontId="2" fillId="0" borderId="0" xfId="0" applyFont="1" applyFill="1" applyProtection="1">
      <protection locked="0"/>
    </xf>
    <xf numFmtId="167" fontId="0" fillId="4" borderId="0" xfId="0" quotePrefix="1" applyNumberFormat="1" applyFill="1" applyProtection="1">
      <protection locked="0"/>
    </xf>
    <xf numFmtId="167" fontId="0" fillId="0" borderId="0" xfId="0" quotePrefix="1" applyNumberFormat="1" applyFill="1" applyProtection="1">
      <protection locked="0"/>
    </xf>
    <xf numFmtId="0" fontId="22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26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 wrapText="1"/>
      <protection hidden="1"/>
    </xf>
    <xf numFmtId="167" fontId="0" fillId="2" borderId="2" xfId="0" applyNumberFormat="1" applyFill="1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1" fontId="0" fillId="0" borderId="0" xfId="0" quotePrefix="1" applyNumberFormat="1" applyFill="1" applyProtection="1">
      <protection locked="0"/>
    </xf>
    <xf numFmtId="164" fontId="0" fillId="2" borderId="1" xfId="0" applyNumberFormat="1" applyFill="1" applyBorder="1"/>
    <xf numFmtId="0" fontId="0" fillId="0" borderId="0" xfId="0" applyAlignment="1">
      <alignment horizontal="left"/>
    </xf>
    <xf numFmtId="0" fontId="30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5" fontId="34" fillId="0" borderId="0" xfId="0" applyNumberFormat="1" applyFont="1" applyAlignment="1">
      <alignment horizontal="left"/>
    </xf>
    <xf numFmtId="0" fontId="35" fillId="0" borderId="0" xfId="0" applyFont="1"/>
    <xf numFmtId="0" fontId="1" fillId="0" borderId="0" xfId="0" applyFont="1" applyAlignment="1" applyProtection="1">
      <protection locked="0"/>
    </xf>
    <xf numFmtId="0" fontId="2" fillId="4" borderId="0" xfId="0" applyFont="1" applyFill="1"/>
    <xf numFmtId="167" fontId="0" fillId="0" borderId="0" xfId="0" quotePrefix="1" applyNumberFormat="1" applyProtection="1">
      <protection locked="0"/>
    </xf>
    <xf numFmtId="0" fontId="23" fillId="0" borderId="0" xfId="0" applyFont="1" applyProtection="1">
      <protection locked="0"/>
    </xf>
    <xf numFmtId="0" fontId="36" fillId="0" borderId="0" xfId="0" applyFont="1" applyProtection="1">
      <protection hidden="1"/>
    </xf>
    <xf numFmtId="0" fontId="1" fillId="5" borderId="0" xfId="0" applyFont="1" applyFill="1" applyProtection="1">
      <protection hidden="1"/>
    </xf>
    <xf numFmtId="0" fontId="1" fillId="0" borderId="0" xfId="0" applyFont="1" applyFill="1" applyProtection="1">
      <protection hidden="1"/>
    </xf>
    <xf numFmtId="49" fontId="0" fillId="3" borderId="1" xfId="0" applyNumberFormat="1" applyFill="1" applyBorder="1" applyProtection="1"/>
    <xf numFmtId="0" fontId="37" fillId="0" borderId="0" xfId="0" applyFont="1" applyAlignment="1" applyProtection="1">
      <alignment horizontal="center" vertical="center"/>
    </xf>
    <xf numFmtId="169" fontId="2" fillId="0" borderId="0" xfId="0" applyNumberFormat="1" applyFont="1"/>
    <xf numFmtId="14" fontId="0" fillId="4" borderId="0" xfId="0" quotePrefix="1" applyNumberFormat="1" applyFill="1" applyProtection="1">
      <protection locked="0"/>
    </xf>
    <xf numFmtId="0" fontId="11" fillId="0" borderId="0" xfId="0" applyFont="1" applyAlignment="1" applyProtection="1">
      <alignment horizontal="center" vertical="center" wrapText="1"/>
    </xf>
    <xf numFmtId="0" fontId="22" fillId="0" borderId="2" xfId="0" applyFont="1" applyBorder="1" applyAlignment="1" applyProtection="1">
      <alignment horizontal="center" vertical="center"/>
      <protection hidden="1"/>
    </xf>
    <xf numFmtId="0" fontId="22" fillId="0" borderId="3" xfId="0" applyFont="1" applyBorder="1" applyAlignment="1">
      <alignment horizontal="center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7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279400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9</xdr:row>
          <xdr:rowOff>38100</xdr:rowOff>
        </xdr:from>
        <xdr:to>
          <xdr:col>2</xdr:col>
          <xdr:colOff>1973580</xdr:colOff>
          <xdr:row>10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8</xdr:col>
      <xdr:colOff>66675</xdr:colOff>
      <xdr:row>1</xdr:row>
      <xdr:rowOff>342900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" y="38100"/>
          <a:ext cx="6686550" cy="7905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 this activity you will attempt to complete the task in Column A based on the</a:t>
          </a:r>
          <a:r>
            <a:rPr lang="en-US" sz="1100" baseline="0">
              <a:solidFill>
                <a:sysClr val="windowText" lastClr="000000"/>
              </a:solidFill>
            </a:rPr>
            <a:t> command in column B. Select an individual Cell in Column B (for example Cell B4), then edit the command to remove the single quote at the start of the line. When the command starts with an = Excel will try to calculate a result.  Progress through each cell in Column B, removing the single quote and proceed to solve the problem</a:t>
          </a:r>
          <a:r>
            <a:rPr lang="en-US" sz="1100">
              <a:solidFill>
                <a:sysClr val="windowText" lastClr="000000"/>
              </a:solidFill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6" sqref="C6"/>
    </sheetView>
  </sheetViews>
  <sheetFormatPr defaultColWidth="8.88671875" defaultRowHeight="14.4"/>
  <cols>
    <col min="1" max="1" width="8.88671875" style="18"/>
    <col min="2" max="2" width="17.44140625" style="18" customWidth="1"/>
    <col min="3" max="3" width="26.44140625" style="18" customWidth="1"/>
    <col min="4" max="4" width="8.88671875" style="18"/>
    <col min="5" max="5" width="16.5546875" style="23" customWidth="1"/>
    <col min="6" max="6" width="8.88671875" style="18"/>
    <col min="7" max="7" width="8.88671875" style="21"/>
    <col min="8" max="8" width="110" style="18" customWidth="1"/>
    <col min="9" max="9" width="8.88671875" style="18"/>
    <col min="10" max="12" width="8.88671875" style="22"/>
    <col min="13" max="13" width="18.88671875" style="22" customWidth="1"/>
    <col min="14" max="16384" width="8.88671875" style="18"/>
  </cols>
  <sheetData>
    <row r="1" spans="2:14">
      <c r="G1" s="9"/>
      <c r="H1" s="10"/>
    </row>
    <row r="2" spans="2:14">
      <c r="B2" s="18" t="s">
        <v>96</v>
      </c>
      <c r="E2" s="26"/>
      <c r="G2" s="9"/>
      <c r="H2" s="10"/>
      <c r="M2" s="27"/>
      <c r="N2" s="22"/>
    </row>
    <row r="3" spans="2:14" ht="15" thickBot="1">
      <c r="G3" s="9"/>
      <c r="H3" s="10"/>
      <c r="M3" s="28"/>
      <c r="N3" s="22"/>
    </row>
    <row r="4" spans="2:14" ht="15" thickBot="1">
      <c r="B4" s="18" t="s">
        <v>0</v>
      </c>
      <c r="C4" s="86" t="s">
        <v>98</v>
      </c>
      <c r="D4" s="29" t="s">
        <v>2</v>
      </c>
      <c r="G4" s="11" t="s">
        <v>18</v>
      </c>
      <c r="H4" s="10" t="s">
        <v>24</v>
      </c>
      <c r="M4" s="28"/>
    </row>
    <row r="5" spans="2:14" ht="15" thickBot="1">
      <c r="G5" s="11" t="s">
        <v>6</v>
      </c>
      <c r="H5" s="31" t="s">
        <v>21</v>
      </c>
      <c r="M5" s="28"/>
    </row>
    <row r="6" spans="2:14" ht="15" thickBot="1">
      <c r="B6" s="18" t="s">
        <v>17</v>
      </c>
      <c r="C6" s="86" t="s">
        <v>99</v>
      </c>
      <c r="D6" s="29" t="s">
        <v>3</v>
      </c>
      <c r="G6" s="11" t="s">
        <v>8</v>
      </c>
      <c r="H6" s="10" t="s">
        <v>22</v>
      </c>
      <c r="M6" s="28"/>
    </row>
    <row r="7" spans="2:14" ht="15" thickBot="1">
      <c r="G7" s="11" t="s">
        <v>8</v>
      </c>
      <c r="H7" s="10" t="s">
        <v>23</v>
      </c>
      <c r="M7" s="28"/>
    </row>
    <row r="8" spans="2:14" ht="15" thickBot="1">
      <c r="B8" s="18" t="s">
        <v>1</v>
      </c>
      <c r="C8" s="30">
        <f ca="1">NOW()</f>
        <v>44828.90724803241</v>
      </c>
      <c r="G8" s="11"/>
      <c r="H8" s="10" t="s">
        <v>7</v>
      </c>
    </row>
    <row r="9" spans="2:14" ht="46.5" customHeight="1">
      <c r="C9" s="87" t="s">
        <v>97</v>
      </c>
      <c r="G9" s="13" t="s">
        <v>9</v>
      </c>
      <c r="H9" s="14" t="s">
        <v>15</v>
      </c>
    </row>
    <row r="10" spans="2:14" ht="24" customHeight="1">
      <c r="C10" s="90" t="s">
        <v>25</v>
      </c>
      <c r="E10" s="20">
        <v>44819.037893518522</v>
      </c>
      <c r="F10" s="18" t="s">
        <v>105</v>
      </c>
    </row>
    <row r="11" spans="2:14" ht="24" customHeight="1">
      <c r="C11" s="90"/>
      <c r="H11" s="12"/>
    </row>
    <row r="12" spans="2:14" ht="24" customHeight="1">
      <c r="C12" s="79" t="s">
        <v>16</v>
      </c>
      <c r="E12" s="20"/>
    </row>
    <row r="13" spans="2:14" ht="24" customHeight="1">
      <c r="C13" s="79"/>
    </row>
    <row r="14" spans="2:14" ht="24" customHeight="1">
      <c r="C14" s="19" t="s">
        <v>11</v>
      </c>
    </row>
    <row r="15" spans="2:14" ht="24" customHeight="1">
      <c r="C15" s="77" t="s">
        <v>95</v>
      </c>
    </row>
    <row r="16" spans="2:14">
      <c r="C16" s="78" t="str">
        <f ca="1">IFERROR(_xlfn.TEXTJOIN(" ",TRUE,C18,", Excel version",C17),"Upgrade to Excel 2019")</f>
        <v>Windows (64-bit) NT 10.00 , Excel version 16.0</v>
      </c>
    </row>
    <row r="17" spans="2:4">
      <c r="B17" s="24" t="s">
        <v>19</v>
      </c>
      <c r="C17" s="24" t="str">
        <f ca="1">INFO("release")</f>
        <v>16.0</v>
      </c>
      <c r="D17" s="25"/>
    </row>
    <row r="18" spans="2:4">
      <c r="B18" s="24" t="s">
        <v>20</v>
      </c>
      <c r="C18" s="24" t="str">
        <f ca="1">INFO("OSVERSION")</f>
        <v>Windows (64-bit) NT 10.00</v>
      </c>
      <c r="D18" s="24"/>
    </row>
  </sheetData>
  <sheetProtection algorithmName="SHA-512" hashValue="BrHcV/HbHEMbjPZVEZnxZrsx+Ru4tJm1iAGtA0CC2PMZrM2yuMCd3fyns/NT3ESFsJqYvUW6CBb0f8lhpNDyVQ==" saltValue="8DNp6gXOONX60F/9vrY0tg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68580</xdr:colOff>
                    <xdr:row>9</xdr:row>
                    <xdr:rowOff>38100</xdr:rowOff>
                  </from>
                  <to>
                    <xdr:col>2</xdr:col>
                    <xdr:colOff>1973580</xdr:colOff>
                    <xdr:row>10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D8F2-0270-4AAA-B3C2-597C859AB2AC}">
  <sheetPr codeName="Sheet6"/>
  <dimension ref="A1:C5"/>
  <sheetViews>
    <sheetView workbookViewId="0">
      <selection activeCell="A2" sqref="A2"/>
    </sheetView>
  </sheetViews>
  <sheetFormatPr defaultRowHeight="14.4"/>
  <cols>
    <col min="1" max="1" width="25.6640625" customWidth="1"/>
    <col min="2" max="2" width="63.88671875" customWidth="1"/>
    <col min="3" max="3" width="40.44140625" customWidth="1"/>
  </cols>
  <sheetData>
    <row r="1" spans="1:3" ht="15" thickBot="1">
      <c r="A1" s="71">
        <f ca="1">NOW()</f>
        <v>44828.907247916664</v>
      </c>
      <c r="B1" s="72" t="s">
        <v>77</v>
      </c>
    </row>
    <row r="2" spans="1:3" ht="251.25" customHeight="1" thickBot="1">
      <c r="B2" s="73" t="s">
        <v>78</v>
      </c>
      <c r="C2" s="74" t="s">
        <v>79</v>
      </c>
    </row>
    <row r="4" spans="1:3" s="76" customFormat="1" ht="22.5" customHeight="1">
      <c r="A4" s="74" t="s">
        <v>80</v>
      </c>
      <c r="B4" s="75" t="s">
        <v>81</v>
      </c>
    </row>
    <row r="5" spans="1:3" s="76" customFormat="1" ht="22.5" customHeight="1">
      <c r="A5" s="74" t="s">
        <v>82</v>
      </c>
      <c r="B5" s="7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1"/>
  <sheetViews>
    <sheetView tabSelected="1" topLeftCell="A3" zoomScale="119" zoomScaleNormal="85" workbookViewId="0">
      <selection activeCell="B7" sqref="B7"/>
    </sheetView>
  </sheetViews>
  <sheetFormatPr defaultColWidth="8.88671875" defaultRowHeight="14.4"/>
  <cols>
    <col min="1" max="1" width="34.109375" style="2" customWidth="1"/>
    <col min="2" max="2" width="20.88671875" style="49" customWidth="1"/>
    <col min="3" max="3" width="21" style="50" customWidth="1"/>
    <col min="4" max="4" width="9.33203125" style="1" customWidth="1"/>
    <col min="5" max="5" width="8.88671875" style="42"/>
    <col min="6" max="9" width="3.109375" customWidth="1"/>
    <col min="10" max="16" width="10.6640625" customWidth="1"/>
  </cols>
  <sheetData>
    <row r="1" spans="1:16" ht="38.25" customHeight="1">
      <c r="A1" s="40"/>
      <c r="B1" s="54" t="str">
        <f>("Raisa Basher")</f>
        <v>Raisa Basher</v>
      </c>
      <c r="C1" s="54" t="str">
        <f>("Fall 2022")</f>
        <v>Fall 2022</v>
      </c>
      <c r="D1" s="42"/>
      <c r="H1" s="40"/>
      <c r="I1" s="32"/>
      <c r="J1" s="92" t="s">
        <v>45</v>
      </c>
      <c r="K1" s="92"/>
      <c r="L1" s="92"/>
      <c r="M1" s="92"/>
      <c r="N1" s="92"/>
      <c r="O1" s="92"/>
      <c r="P1" s="92"/>
    </row>
    <row r="2" spans="1:16" ht="38.25" customHeight="1">
      <c r="D2" s="42"/>
      <c r="H2" s="41"/>
      <c r="I2" s="36"/>
      <c r="J2" s="63"/>
      <c r="K2" s="91" t="s">
        <v>62</v>
      </c>
      <c r="L2" s="91"/>
      <c r="M2" s="91"/>
      <c r="N2" s="91" t="s">
        <v>63</v>
      </c>
      <c r="O2" s="91"/>
      <c r="P2" s="91"/>
    </row>
    <row r="3" spans="1:16">
      <c r="A3" s="33" t="s">
        <v>32</v>
      </c>
      <c r="B3" s="51" t="s">
        <v>33</v>
      </c>
      <c r="C3" s="82" t="s">
        <v>92</v>
      </c>
      <c r="D3" s="83" t="str">
        <f>("Fall 2022")</f>
        <v>Fall 2022</v>
      </c>
      <c r="J3" s="64" t="s">
        <v>46</v>
      </c>
      <c r="K3" s="64" t="s">
        <v>47</v>
      </c>
      <c r="L3" s="65" t="s">
        <v>48</v>
      </c>
      <c r="M3" s="65" t="s">
        <v>49</v>
      </c>
      <c r="N3" s="64" t="s">
        <v>47</v>
      </c>
      <c r="O3" s="65" t="s">
        <v>48</v>
      </c>
      <c r="P3" s="65" t="s">
        <v>49</v>
      </c>
    </row>
    <row r="4" spans="1:16">
      <c r="A4" s="80" t="s">
        <v>34</v>
      </c>
      <c r="B4" s="89">
        <f ca="1">TODAY()</f>
        <v>44828</v>
      </c>
      <c r="C4" s="46" t="s">
        <v>43</v>
      </c>
      <c r="D4" s="85" t="str">
        <f>IF(C4=CommonErrors!A8,"Correct IDentification","")</f>
        <v>Correct IDentification</v>
      </c>
      <c r="E4" s="84"/>
      <c r="J4" s="66" t="s">
        <v>50</v>
      </c>
      <c r="K4" s="67">
        <v>61</v>
      </c>
      <c r="L4" s="68">
        <f>(K4-32)*(5/9)</f>
        <v>16.111111111111111</v>
      </c>
      <c r="M4" s="68">
        <f>L4+273.15</f>
        <v>289.26111111111106</v>
      </c>
      <c r="N4" s="69">
        <v>43</v>
      </c>
      <c r="O4" s="68">
        <f>(N4-32)*(5/9)</f>
        <v>6.1111111111111116</v>
      </c>
      <c r="P4" s="68">
        <f>O4+273.15</f>
        <v>279.26111111111106</v>
      </c>
    </row>
    <row r="5" spans="1:16">
      <c r="A5" s="34" t="s">
        <v>65</v>
      </c>
      <c r="B5" s="38">
        <f>AVERAGE(K4:$K$15)</f>
        <v>70.25</v>
      </c>
      <c r="C5" s="46" t="s">
        <v>28</v>
      </c>
      <c r="D5" s="85" t="str">
        <f>IF(C5=CommonErrors!A3,"Correct IDentification","")</f>
        <v>Correct IDentification</v>
      </c>
      <c r="E5" s="85" t="str">
        <f>IF(B5=AVERAGE($K$4:$K$15),"Correct solution","")</f>
        <v>Correct solution</v>
      </c>
      <c r="J5" s="64" t="s">
        <v>51</v>
      </c>
      <c r="K5" s="69">
        <v>52</v>
      </c>
      <c r="L5" s="68">
        <f t="shared" ref="L5:L15" si="0">(K5-32)*(5/9)</f>
        <v>11.111111111111111</v>
      </c>
      <c r="M5" s="68">
        <f t="shared" ref="M5:M15" si="1">L5+273.15</f>
        <v>284.26111111111106</v>
      </c>
      <c r="N5" s="69">
        <v>37</v>
      </c>
      <c r="O5" s="68">
        <f t="shared" ref="O5:O15" si="2">(N5-32)*(5/9)</f>
        <v>2.7777777777777777</v>
      </c>
      <c r="P5" s="68">
        <f t="shared" ref="P5:P15" si="3">O5+273.15</f>
        <v>275.92777777777775</v>
      </c>
    </row>
    <row r="6" spans="1:16">
      <c r="A6" s="34" t="s">
        <v>65</v>
      </c>
      <c r="B6" s="38">
        <f>AVERAGE(K4:$K$15)</f>
        <v>70.25</v>
      </c>
      <c r="C6" s="46" t="s">
        <v>39</v>
      </c>
      <c r="D6" s="85" t="str">
        <f>IF(C6=CommonErrors!A4,"Correct IDentification","")</f>
        <v>Correct IDentification</v>
      </c>
      <c r="E6" s="85" t="str">
        <f>IF(B6=AVERAGE($K$4:$K$15),"Correct solution","")</f>
        <v>Correct solution</v>
      </c>
      <c r="J6" s="64" t="s">
        <v>52</v>
      </c>
      <c r="K6" s="69">
        <v>72</v>
      </c>
      <c r="L6" s="68">
        <f t="shared" si="0"/>
        <v>22.222222222222221</v>
      </c>
      <c r="M6" s="68">
        <f t="shared" si="1"/>
        <v>295.37222222222221</v>
      </c>
      <c r="N6" s="69">
        <v>54</v>
      </c>
      <c r="O6" s="68">
        <f t="shared" si="2"/>
        <v>12.222222222222223</v>
      </c>
      <c r="P6" s="68">
        <f t="shared" si="3"/>
        <v>285.37222222222221</v>
      </c>
    </row>
    <row r="7" spans="1:16">
      <c r="A7" s="43" t="s">
        <v>65</v>
      </c>
      <c r="B7" s="39">
        <f>AVERAGE(K4:$K$15)</f>
        <v>70.25</v>
      </c>
      <c r="C7" s="47" t="s">
        <v>28</v>
      </c>
      <c r="D7" s="85" t="str">
        <f>IF(C7=CommonErrors!A3,"Correct IDentification","")</f>
        <v>Correct IDentification</v>
      </c>
      <c r="E7" s="85" t="str">
        <f>IF(B7=AVERAGE($K$4:$K$15),"Correct solution","")</f>
        <v>Correct solution</v>
      </c>
      <c r="J7" s="64" t="s">
        <v>53</v>
      </c>
      <c r="K7" s="69">
        <v>82</v>
      </c>
      <c r="L7" s="68">
        <f t="shared" si="0"/>
        <v>27.777777777777779</v>
      </c>
      <c r="M7" s="68">
        <f t="shared" si="1"/>
        <v>300.92777777777775</v>
      </c>
      <c r="N7" s="69">
        <v>64</v>
      </c>
      <c r="O7" s="68">
        <f t="shared" si="2"/>
        <v>17.777777777777779</v>
      </c>
      <c r="P7" s="68">
        <f t="shared" si="3"/>
        <v>290.92777777777775</v>
      </c>
    </row>
    <row r="8" spans="1:16">
      <c r="A8" s="34" t="s">
        <v>66</v>
      </c>
      <c r="B8" s="45">
        <f>SUM(L4:L15)/COUNT(L4:L15)</f>
        <v>21.249999999999996</v>
      </c>
      <c r="C8" s="46" t="s">
        <v>41</v>
      </c>
      <c r="D8" s="85" t="str">
        <f>IF(C8=CommonErrors!A5,"Correct IDentification","")</f>
        <v>Correct IDentification</v>
      </c>
      <c r="E8" s="85" t="str">
        <f>IF(B8=AVERAGE($L$4:$L$15),"Correct solution","")</f>
        <v>Correct solution</v>
      </c>
      <c r="J8" s="64" t="s">
        <v>54</v>
      </c>
      <c r="K8" s="69">
        <v>86</v>
      </c>
      <c r="L8" s="68">
        <f t="shared" si="0"/>
        <v>30</v>
      </c>
      <c r="M8" s="68">
        <f t="shared" si="1"/>
        <v>303.14999999999998</v>
      </c>
      <c r="N8" s="69">
        <v>69</v>
      </c>
      <c r="O8" s="68">
        <f t="shared" si="2"/>
        <v>20.555555555555557</v>
      </c>
      <c r="P8" s="68">
        <f t="shared" si="3"/>
        <v>293.70555555555552</v>
      </c>
    </row>
    <row r="9" spans="1:16">
      <c r="A9" s="34" t="s">
        <v>66</v>
      </c>
      <c r="B9" s="45">
        <f>SUM(L4:L15)/COUNT(L4:L15)</f>
        <v>21.249999999999996</v>
      </c>
      <c r="C9" s="46" t="s">
        <v>36</v>
      </c>
      <c r="D9" s="85" t="str">
        <f>IF(C9=CommonErrors!A2,"Correct IDentification","")</f>
        <v>Correct IDentification</v>
      </c>
      <c r="E9" s="85" t="str">
        <f t="shared" ref="E9:E10" si="4">IF(B9=AVERAGE($L$4:$L$15),"Correct solution","")</f>
        <v>Correct solution</v>
      </c>
      <c r="J9" s="64" t="s">
        <v>55</v>
      </c>
      <c r="K9" s="69">
        <v>87</v>
      </c>
      <c r="L9" s="68">
        <f t="shared" si="0"/>
        <v>30.555555555555557</v>
      </c>
      <c r="M9" s="68">
        <f t="shared" si="1"/>
        <v>303.70555555555552</v>
      </c>
      <c r="N9" s="69">
        <v>70</v>
      </c>
      <c r="O9" s="68">
        <f t="shared" si="2"/>
        <v>21.111111111111111</v>
      </c>
      <c r="P9" s="68">
        <f t="shared" si="3"/>
        <v>294.26111111111106</v>
      </c>
    </row>
    <row r="10" spans="1:16">
      <c r="A10" s="44" t="s">
        <v>66</v>
      </c>
      <c r="B10" s="81">
        <f>AVERAGE(L4:L15)</f>
        <v>21.249999999999996</v>
      </c>
      <c r="C10" s="47" t="s">
        <v>36</v>
      </c>
      <c r="D10" s="85" t="str">
        <f>IF(C10=CommonErrors!A2,"Correct IDentification","")</f>
        <v>Correct IDentification</v>
      </c>
      <c r="E10" s="85" t="str">
        <f t="shared" si="4"/>
        <v>Correct solution</v>
      </c>
      <c r="J10" s="64" t="s">
        <v>56</v>
      </c>
      <c r="K10" s="69">
        <v>86</v>
      </c>
      <c r="L10" s="68">
        <f t="shared" si="0"/>
        <v>30</v>
      </c>
      <c r="M10" s="68">
        <f t="shared" si="1"/>
        <v>303.14999999999998</v>
      </c>
      <c r="N10" s="69">
        <v>67</v>
      </c>
      <c r="O10" s="68">
        <f t="shared" si="2"/>
        <v>19.444444444444446</v>
      </c>
      <c r="P10" s="68">
        <f t="shared" si="3"/>
        <v>292.59444444444443</v>
      </c>
    </row>
    <row r="11" spans="1:16">
      <c r="A11" s="34" t="s">
        <v>84</v>
      </c>
      <c r="B11" s="61" t="str">
        <f>IF(K4&gt;L4,"F is larger","C is larger")</f>
        <v>F is larger</v>
      </c>
      <c r="C11" s="46" t="s">
        <v>36</v>
      </c>
      <c r="D11" s="85" t="str">
        <f>IF(C11=CommonErrors!A2,"Correct IDentification","")</f>
        <v>Correct IDentification</v>
      </c>
      <c r="E11" s="85" t="str">
        <f>IF(B11="F is larger","Correct solution","")</f>
        <v>Correct solution</v>
      </c>
      <c r="J11" s="64" t="s">
        <v>57</v>
      </c>
      <c r="K11" s="69">
        <v>79</v>
      </c>
      <c r="L11" s="68">
        <f t="shared" si="0"/>
        <v>26.111111111111111</v>
      </c>
      <c r="M11" s="68">
        <f t="shared" si="1"/>
        <v>299.26111111111106</v>
      </c>
      <c r="N11" s="69">
        <v>79</v>
      </c>
      <c r="O11" s="68">
        <f t="shared" si="2"/>
        <v>26.111111111111111</v>
      </c>
      <c r="P11" s="68">
        <f t="shared" si="3"/>
        <v>299.26111111111106</v>
      </c>
    </row>
    <row r="12" spans="1:16">
      <c r="A12" s="34" t="s">
        <v>85</v>
      </c>
      <c r="B12" s="61" t="str">
        <f>IF(N4&gt;O4,"F is larger","C is larger")</f>
        <v>F is larger</v>
      </c>
      <c r="C12" s="46" t="s">
        <v>86</v>
      </c>
      <c r="D12" s="85" t="str">
        <f>IF(C12=CommonErrors!A6,"Correct IDentification","")</f>
        <v>Correct IDentification</v>
      </c>
      <c r="E12" s="85" t="str">
        <f>IF(B12="F is larger","Correct solution","")</f>
        <v>Correct solution</v>
      </c>
      <c r="J12" s="64" t="s">
        <v>58</v>
      </c>
      <c r="K12" s="69">
        <v>71</v>
      </c>
      <c r="L12" s="68">
        <f t="shared" si="0"/>
        <v>21.666666666666668</v>
      </c>
      <c r="M12" s="68">
        <f t="shared" si="1"/>
        <v>294.81666666666666</v>
      </c>
      <c r="N12" s="69">
        <v>71</v>
      </c>
      <c r="O12" s="68">
        <f t="shared" si="2"/>
        <v>21.666666666666668</v>
      </c>
      <c r="P12" s="68">
        <f t="shared" si="3"/>
        <v>294.81666666666666</v>
      </c>
    </row>
    <row r="13" spans="1:16">
      <c r="A13" s="44" t="s">
        <v>76</v>
      </c>
      <c r="B13" s="59">
        <f>AVERAGE(P4:P15)</f>
        <v>288.75185185185182</v>
      </c>
      <c r="C13" s="60" t="s">
        <v>36</v>
      </c>
      <c r="D13" s="85" t="str">
        <f>IF(C13=CommonErrors!A2,"Correct IDentification","")</f>
        <v>Correct IDentification</v>
      </c>
      <c r="E13" s="85" t="str">
        <f>IF(B13=AVERAGE($P$4:$P$15),"Correct solution","")</f>
        <v>Correct solution</v>
      </c>
      <c r="J13" s="64" t="s">
        <v>59</v>
      </c>
      <c r="K13" s="69">
        <v>54</v>
      </c>
      <c r="L13" s="68">
        <f t="shared" si="0"/>
        <v>12.222222222222223</v>
      </c>
      <c r="M13" s="68">
        <f t="shared" si="1"/>
        <v>285.37222222222221</v>
      </c>
      <c r="N13" s="69">
        <v>54</v>
      </c>
      <c r="O13" s="68">
        <f t="shared" si="2"/>
        <v>12.222222222222223</v>
      </c>
      <c r="P13" s="68">
        <f t="shared" si="3"/>
        <v>285.37222222222221</v>
      </c>
    </row>
    <row r="14" spans="1:16">
      <c r="A14" s="43" t="s">
        <v>68</v>
      </c>
      <c r="B14" s="39">
        <f>MAX(N4:N15)</f>
        <v>79</v>
      </c>
      <c r="C14" s="60" t="s">
        <v>28</v>
      </c>
      <c r="D14" s="85" t="str">
        <f>IF(C14=CommonErrors!A3,"Correct IDentification","")</f>
        <v>Correct IDentification</v>
      </c>
      <c r="E14" s="85" t="str">
        <f>IF(B14=MAX($N$9:$N$15),"Correct solution","")</f>
        <v>Correct solution</v>
      </c>
      <c r="J14" s="64" t="s">
        <v>60</v>
      </c>
      <c r="K14" s="69">
        <v>62</v>
      </c>
      <c r="L14" s="68">
        <f t="shared" si="0"/>
        <v>16.666666666666668</v>
      </c>
      <c r="M14" s="68">
        <f t="shared" si="1"/>
        <v>289.81666666666666</v>
      </c>
      <c r="N14" s="69">
        <v>62</v>
      </c>
      <c r="O14" s="68">
        <f t="shared" si="2"/>
        <v>16.666666666666668</v>
      </c>
      <c r="P14" s="68">
        <f t="shared" si="3"/>
        <v>289.81666666666666</v>
      </c>
    </row>
    <row r="15" spans="1:16">
      <c r="A15" s="34" t="s">
        <v>89</v>
      </c>
      <c r="B15" s="61" t="str">
        <f>IF(K11&gt;M11,"F is larger","K is larger")</f>
        <v>K is larger</v>
      </c>
      <c r="C15" s="46" t="s">
        <v>36</v>
      </c>
      <c r="D15" s="85" t="str">
        <f>IF(C15=CommonErrors!A2,"Correct IDentification","")</f>
        <v>Correct IDentification</v>
      </c>
      <c r="E15" s="85" t="str">
        <f>IF(B15="K is larger","Correct solution","")</f>
        <v>Correct solution</v>
      </c>
      <c r="J15" s="64" t="s">
        <v>61</v>
      </c>
      <c r="K15" s="69">
        <v>51</v>
      </c>
      <c r="L15" s="68">
        <f t="shared" si="0"/>
        <v>10.555555555555555</v>
      </c>
      <c r="M15" s="68">
        <f t="shared" si="1"/>
        <v>283.70555555555552</v>
      </c>
      <c r="N15" s="69">
        <v>51</v>
      </c>
      <c r="O15" s="68">
        <f t="shared" si="2"/>
        <v>10.555555555555555</v>
      </c>
      <c r="P15" s="68">
        <f t="shared" si="3"/>
        <v>283.70555555555552</v>
      </c>
    </row>
    <row r="16" spans="1:16">
      <c r="A16" s="43" t="s">
        <v>90</v>
      </c>
      <c r="B16" s="62" t="str">
        <f>IF(O11&gt;P11,"C is larger","K is larger")</f>
        <v>K is larger</v>
      </c>
      <c r="C16" s="60" t="s">
        <v>28</v>
      </c>
      <c r="D16" s="42" t="str">
        <f>IF(C16=CommonErrors!A3,"Correct IDentification","")</f>
        <v>Correct IDentification</v>
      </c>
      <c r="E16" s="85" t="str">
        <f>IF(B16="K is larger","Correct solution","")</f>
        <v>Correct solution</v>
      </c>
      <c r="J16" t="s">
        <v>64</v>
      </c>
    </row>
    <row r="17" spans="1:14">
      <c r="A17" s="58" t="s">
        <v>91</v>
      </c>
      <c r="B17" s="53"/>
      <c r="C17" s="1" t="str">
        <f>("Raisa Basher")</f>
        <v>Raisa Basher</v>
      </c>
      <c r="D17" s="52"/>
      <c r="E17" s="52"/>
    </row>
    <row r="18" spans="1:14">
      <c r="A18" s="34" t="s">
        <v>67</v>
      </c>
      <c r="B18" s="61">
        <f>SUBTOTAL(5,$K$4:$K$15)</f>
        <v>51</v>
      </c>
      <c r="C18" s="46" t="s">
        <v>39</v>
      </c>
      <c r="D18" s="48" t="str">
        <f>("Joe Student")</f>
        <v>Joe Student</v>
      </c>
      <c r="E18" s="48" t="str">
        <f>("Joe Student")</f>
        <v>Joe Student</v>
      </c>
    </row>
    <row r="19" spans="1:14">
      <c r="A19" s="44" t="s">
        <v>67</v>
      </c>
      <c r="B19" s="70">
        <f>SUBTOTAL(5,K4:$K15)</f>
        <v>51</v>
      </c>
      <c r="C19" s="60" t="s">
        <v>39</v>
      </c>
      <c r="D19" s="48" t="str">
        <f t="shared" ref="D19:E24" si="5">("Joe Student")</f>
        <v>Joe Student</v>
      </c>
      <c r="E19" s="48" t="str">
        <f t="shared" si="5"/>
        <v>Joe Student</v>
      </c>
    </row>
    <row r="20" spans="1:14">
      <c r="A20" s="44" t="s">
        <v>72</v>
      </c>
      <c r="B20" s="59">
        <f>SUBTOTAL(105,$M$4:$M$15)</f>
        <v>283.70555555555552</v>
      </c>
      <c r="C20" s="60" t="s">
        <v>39</v>
      </c>
      <c r="D20" s="48" t="str">
        <f t="shared" si="5"/>
        <v>Joe Student</v>
      </c>
      <c r="E20" s="48" t="str">
        <f t="shared" si="5"/>
        <v>Joe Student</v>
      </c>
    </row>
    <row r="21" spans="1:14">
      <c r="A21" s="44" t="s">
        <v>69</v>
      </c>
      <c r="B21" s="59">
        <f>SUBTOTAL(110,$L$4:$L$15)</f>
        <v>59.378507295173968</v>
      </c>
      <c r="C21" s="60" t="s">
        <v>39</v>
      </c>
      <c r="D21" s="48" t="str">
        <f t="shared" si="5"/>
        <v>Joe Student</v>
      </c>
      <c r="E21" s="48" t="str">
        <f t="shared" si="5"/>
        <v>Joe Student</v>
      </c>
    </row>
    <row r="22" spans="1:14">
      <c r="A22" s="44" t="s">
        <v>70</v>
      </c>
      <c r="B22" s="59">
        <f>SUBTOTAL(10,$M$4:$M15)</f>
        <v>59.378507295173989</v>
      </c>
      <c r="C22" s="60" t="s">
        <v>36</v>
      </c>
      <c r="D22" s="48" t="str">
        <f t="shared" si="5"/>
        <v>Joe Student</v>
      </c>
      <c r="E22" s="48" t="str">
        <f t="shared" si="5"/>
        <v>Joe Student</v>
      </c>
    </row>
    <row r="23" spans="1:14">
      <c r="A23" s="44" t="s">
        <v>71</v>
      </c>
      <c r="B23" s="59">
        <f>SUBTOTAL(110,$K$4:$K$15)</f>
        <v>192.38636363636363</v>
      </c>
      <c r="C23" s="60" t="s">
        <v>36</v>
      </c>
      <c r="D23" s="48" t="str">
        <f t="shared" si="5"/>
        <v>Joe Student</v>
      </c>
      <c r="E23" s="48" t="str">
        <f t="shared" si="5"/>
        <v>Joe Student</v>
      </c>
    </row>
    <row r="24" spans="1:14">
      <c r="A24" s="44" t="s">
        <v>75</v>
      </c>
      <c r="B24" s="59">
        <f>SUBTOTAL(10,O4:O15)</f>
        <v>47.781051253273581</v>
      </c>
      <c r="C24" s="60" t="s">
        <v>36</v>
      </c>
      <c r="D24" s="48" t="str">
        <f t="shared" si="5"/>
        <v>Joe Student</v>
      </c>
      <c r="E24" s="48" t="str">
        <f t="shared" si="5"/>
        <v>Joe Student</v>
      </c>
    </row>
    <row r="30" spans="1:14">
      <c r="N30" s="35"/>
    </row>
    <row r="31" spans="1:14">
      <c r="K31" s="35"/>
      <c r="L31" s="35"/>
      <c r="M31" s="35"/>
    </row>
  </sheetData>
  <sheetProtection formatCells="0" formatColumns="0" formatRows="0"/>
  <mergeCells count="3">
    <mergeCell ref="K2:M2"/>
    <mergeCell ref="N2:P2"/>
    <mergeCell ref="J1:P1"/>
  </mergeCells>
  <conditionalFormatting sqref="D25:D1048576 D1:D18">
    <cfRule type="cellIs" dxfId="6" priority="11" operator="equal">
      <formula>"Correct Identification"</formula>
    </cfRule>
  </conditionalFormatting>
  <conditionalFormatting sqref="E25:E1048576 E1:E4 E15:E17">
    <cfRule type="cellIs" dxfId="5" priority="10" operator="equal">
      <formula>"Correct Solution"</formula>
    </cfRule>
  </conditionalFormatting>
  <conditionalFormatting sqref="D19:E24">
    <cfRule type="cellIs" dxfId="4" priority="6" operator="equal">
      <formula>"Correct Identification"</formula>
    </cfRule>
  </conditionalFormatting>
  <conditionalFormatting sqref="E18">
    <cfRule type="cellIs" dxfId="3" priority="5" operator="equal">
      <formula>"Correct Identification"</formula>
    </cfRule>
  </conditionalFormatting>
  <conditionalFormatting sqref="E5:E10 E13:E14">
    <cfRule type="cellIs" dxfId="2" priority="4" operator="equal">
      <formula>"Correct Solution"</formula>
    </cfRule>
  </conditionalFormatting>
  <conditionalFormatting sqref="E12">
    <cfRule type="cellIs" dxfId="1" priority="3" operator="equal">
      <formula>"Correct Solution"</formula>
    </cfRule>
  </conditionalFormatting>
  <conditionalFormatting sqref="E11">
    <cfRule type="cellIs" dxfId="0" priority="1" operator="equal">
      <formula>"Correct Solution"</formula>
    </cfRule>
  </conditionalFormatting>
  <pageMargins left="0.7" right="0.7" top="0.75" bottom="0.75" header="0.3" footer="0.3"/>
  <ignoredErrors>
    <ignoredError sqref="D7" formula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CommonErrors!$A$2:$A$11</xm:f>
          </x14:formula1>
          <xm:sqref>C4:C16 C18:C24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1"/>
  <sheetViews>
    <sheetView workbookViewId="0">
      <selection activeCell="A10" sqref="A10"/>
    </sheetView>
  </sheetViews>
  <sheetFormatPr defaultColWidth="8.88671875" defaultRowHeight="14.4"/>
  <cols>
    <col min="1" max="1" width="38.109375" style="56" customWidth="1"/>
    <col min="2" max="2" width="62.109375" style="56" customWidth="1"/>
  </cols>
  <sheetData>
    <row r="1" spans="1:2">
      <c r="A1" s="55" t="s">
        <v>26</v>
      </c>
      <c r="B1" s="55" t="s">
        <v>27</v>
      </c>
    </row>
    <row r="2" spans="1:2">
      <c r="A2" s="37" t="s">
        <v>36</v>
      </c>
      <c r="B2" s="56" t="s">
        <v>37</v>
      </c>
    </row>
    <row r="3" spans="1:2">
      <c r="A3" s="37" t="s">
        <v>28</v>
      </c>
      <c r="B3" s="56" t="s">
        <v>38</v>
      </c>
    </row>
    <row r="4" spans="1:2">
      <c r="A4" s="37" t="s">
        <v>39</v>
      </c>
      <c r="B4" s="56" t="s">
        <v>40</v>
      </c>
    </row>
    <row r="5" spans="1:2">
      <c r="A5" s="37" t="s">
        <v>41</v>
      </c>
      <c r="B5" s="56" t="s">
        <v>88</v>
      </c>
    </row>
    <row r="6" spans="1:2">
      <c r="A6" s="37" t="s">
        <v>86</v>
      </c>
      <c r="B6" s="56" t="s">
        <v>87</v>
      </c>
    </row>
    <row r="7" spans="1:2">
      <c r="A7" s="37" t="s">
        <v>29</v>
      </c>
      <c r="B7" s="56" t="s">
        <v>42</v>
      </c>
    </row>
    <row r="8" spans="1:2">
      <c r="A8" s="37" t="s">
        <v>43</v>
      </c>
      <c r="B8" s="56" t="s">
        <v>44</v>
      </c>
    </row>
    <row r="9" spans="1:2">
      <c r="A9" s="37" t="s">
        <v>93</v>
      </c>
      <c r="B9" s="56" t="s">
        <v>94</v>
      </c>
    </row>
    <row r="10" spans="1:2">
      <c r="A10" s="37" t="s">
        <v>30</v>
      </c>
      <c r="B10" s="56" t="s">
        <v>74</v>
      </c>
    </row>
    <row r="11" spans="1:2">
      <c r="A11" s="37" t="s">
        <v>31</v>
      </c>
      <c r="B11" s="56" t="s">
        <v>31</v>
      </c>
    </row>
    <row r="15" spans="1:2">
      <c r="B15" s="42"/>
    </row>
    <row r="16" spans="1:2">
      <c r="B16" s="42"/>
    </row>
    <row r="17" spans="1:2">
      <c r="B17" s="42"/>
    </row>
    <row r="18" spans="1:2">
      <c r="B18" s="42"/>
    </row>
    <row r="20" spans="1:2">
      <c r="A20" s="56" t="str">
        <f>("Fall 2022")</f>
        <v>Fall 2022</v>
      </c>
      <c r="B20" s="56" t="str">
        <f>("Raisa Basher")</f>
        <v>Raisa Basher</v>
      </c>
    </row>
    <row r="21" spans="1:2">
      <c r="A21" s="57" t="s">
        <v>35</v>
      </c>
      <c r="B21" s="57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defaultColWidth="8.88671875" defaultRowHeight="14.4"/>
  <cols>
    <col min="1" max="3" width="14.44140625" style="1" customWidth="1"/>
    <col min="4" max="4" width="32.109375" style="1" customWidth="1"/>
  </cols>
  <sheetData>
    <row r="1" spans="1:5">
      <c r="A1" s="4" t="s">
        <v>5</v>
      </c>
      <c r="E1" t="s">
        <v>100</v>
      </c>
    </row>
    <row r="2" spans="1:5">
      <c r="A2" s="2" t="s">
        <v>10</v>
      </c>
      <c r="B2" s="2" t="s">
        <v>0</v>
      </c>
      <c r="C2" s="2" t="s">
        <v>4</v>
      </c>
      <c r="D2" s="2" t="s">
        <v>12</v>
      </c>
      <c r="E2" t="s">
        <v>103</v>
      </c>
    </row>
    <row r="3" spans="1:5">
      <c r="A3" s="2" t="s">
        <v>104</v>
      </c>
      <c r="B3" s="2" t="s">
        <v>98</v>
      </c>
      <c r="C3" s="2" t="s">
        <v>99</v>
      </c>
      <c r="D3" s="88">
        <v>44819.037893055553</v>
      </c>
      <c r="E3" t="s">
        <v>98</v>
      </c>
    </row>
    <row r="4" spans="1:5">
      <c r="A4" t="s">
        <v>13</v>
      </c>
      <c r="B4" t="s">
        <v>14</v>
      </c>
      <c r="C4">
        <v>0</v>
      </c>
      <c r="D4" s="7">
        <v>43831</v>
      </c>
      <c r="E4" t="s">
        <v>102</v>
      </c>
    </row>
    <row r="5" spans="1:5">
      <c r="A5"/>
      <c r="B5"/>
      <c r="C5"/>
      <c r="D5" s="7"/>
      <c r="E5" t="s">
        <v>101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09375" defaultRowHeight="14.4"/>
  <cols>
    <col min="1" max="1" width="9.109375" style="8" customWidth="1"/>
    <col min="2" max="16384" width="9.1093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StartHere</vt:lpstr>
      <vt:lpstr>WorkSheet</vt:lpstr>
      <vt:lpstr>CommonErrors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Raisa Basher</cp:lastModifiedBy>
  <dcterms:created xsi:type="dcterms:W3CDTF">2017-10-26T20:43:12Z</dcterms:created>
  <dcterms:modified xsi:type="dcterms:W3CDTF">2022-09-25T01:48:54Z</dcterms:modified>
  <cp:category/>
</cp:coreProperties>
</file>